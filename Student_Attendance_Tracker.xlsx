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  <sheet name="Batch Summary" sheetId="2" state="visible" r:id="rId4"/>
  </sheets>
  <definedNames>
    <definedName function="false" hidden="false" localSheetId="0" name="_xlnm.Print_Titles" vbProcedure="false">Attendance!$A:$C,Attendance!$4:$5</definedName>
    <definedName function="false" hidden="false" localSheetId="0" name="_xlnm.Print_Titles" vbProcedure="false">Attendance!$4:$5,Attendance!$A:$C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<sst xmlns="http://schemas.openxmlformats.org/spreadsheetml/2006/main" count="69" uniqueCount="52">
  <si>
    <t xml:space="preserve">STUDENT ATTENDANCE TRACKER</t>
  </si>
  <si>
    <t xml:space="preserve">Group / Timing</t>
  </si>
  <si>
    <t xml:space="preserve">RADAX6 · 11:30 AM</t>
  </si>
  <si>
    <t xml:space="preserve">At risk below</t>
  </si>
  <si>
    <t xml:space="preserve">Excellent from</t>
  </si>
  <si>
    <t xml:space="preserve">Newest day is in column K.   Mark each day:  P = Present   ·   L = Late   ·   A = Absent   ·   H = Holiday / no class   ·   blank = not marked yet.   Yellow cells are editable.</t>
  </si>
  <si>
    <t xml:space="preserve">NO</t>
  </si>
  <si>
    <t xml:space="preserve">BATCH ID</t>
  </si>
  <si>
    <t xml:space="preserve">NAME</t>
  </si>
  <si>
    <t xml:space="preserve">ATTENDANCE %</t>
  </si>
  <si>
    <t xml:space="preserve">LATE %</t>
  </si>
  <si>
    <t xml:space="preserve">PRESENT</t>
  </si>
  <si>
    <t xml:space="preserve">LATE</t>
  </si>
  <si>
    <t xml:space="preserve">ABSENT</t>
  </si>
  <si>
    <t xml:space="preserve">DAYS HELD</t>
  </si>
  <si>
    <t xml:space="preserve">REMARK</t>
  </si>
  <si>
    <t xml:space="preserve">RADA05</t>
  </si>
  <si>
    <t xml:space="preserve">FAWAZ HUSSAIN</t>
  </si>
  <si>
    <t xml:space="preserve">RADA06</t>
  </si>
  <si>
    <t xml:space="preserve">MUHAMMED AFLAH. PK</t>
  </si>
  <si>
    <t xml:space="preserve">RADA10</t>
  </si>
  <si>
    <t xml:space="preserve">ABISINAN CP</t>
  </si>
  <si>
    <t xml:space="preserve">GOPIKA TP</t>
  </si>
  <si>
    <t xml:space="preserve">SANGEETHA. P</t>
  </si>
  <si>
    <t xml:space="preserve">SHAHAR SHABEEN C</t>
  </si>
  <si>
    <t xml:space="preserve">SHANIL AMAN</t>
  </si>
  <si>
    <t xml:space="preserve">ABDUL MUSAVIR TV</t>
  </si>
  <si>
    <t xml:space="preserve">DEVADATHAN TP</t>
  </si>
  <si>
    <t xml:space="preserve">LAAZIN</t>
  </si>
  <si>
    <t xml:space="preserve">SANJAY</t>
  </si>
  <si>
    <t xml:space="preserve">NAJA FATHIMA</t>
  </si>
  <si>
    <t xml:space="preserve">NANDANA</t>
  </si>
  <si>
    <t xml:space="preserve">POOJA</t>
  </si>
  <si>
    <t xml:space="preserve">RADA11</t>
  </si>
  <si>
    <t xml:space="preserve">SHEBIN</t>
  </si>
  <si>
    <t xml:space="preserve">NISHANA SHERIN</t>
  </si>
  <si>
    <t xml:space="preserve">PRESENT (class total)</t>
  </si>
  <si>
    <t xml:space="preserve">LATE (class total)</t>
  </si>
  <si>
    <t xml:space="preserve">ABSENT (class total)</t>
  </si>
  <si>
    <t xml:space="preserve">DAY ATTENDANCE %</t>
  </si>
  <si>
    <t xml:space="preserve">Attendance % = (Present + Late) ÷ Days Held.   Late % = Late ÷ Days Held.   Days Held = Present + Late + Absent (holidays and blank days are not counted).</t>
  </si>
  <si>
    <t xml:space="preserve">LATEST DATE IS ALWAYS IN COLUMN K (yellow). Older days run to the right, going back one working day at a time (Mon–Fri). Type over any date to change it (e.g. a Saturday class).</t>
  </si>
  <si>
    <t xml:space="preserve">NEW DAY: copy column K  →  right-click column K  →  'Insert Copied Cells'  →  clear the marks in the new K and type the new date in K5. Older days move right automatically and the % columns include every day.</t>
  </si>
  <si>
    <t xml:space="preserve">Spare rows below the list are for new students: type Batch ID and Name — the numbering and formulas are already set.</t>
  </si>
  <si>
    <t xml:space="preserve">BATCH-WISE ATTENDANCE SUMMARY</t>
  </si>
  <si>
    <t xml:space="preserve">Reads from the Attendance sheet. Add more Batch IDs in the yellow cells if needed.</t>
  </si>
  <si>
    <t xml:space="preserve">STUDENTS</t>
  </si>
  <si>
    <t xml:space="preserve">AVG ATTENDANCE %</t>
  </si>
  <si>
    <t xml:space="preserve">AVG LATE %</t>
  </si>
  <si>
    <t xml:space="preserve">AT RISK</t>
  </si>
  <si>
    <t xml:space="preserve">EXCELLENT</t>
  </si>
  <si>
    <t xml:space="preserve">ALL BATCHES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</si>
</sst>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dd\ mmm"/>
    <numFmt numFmtId="167" formatCode="0.0%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1C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1C7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1C7C"/>
        <bgColor rgb="FF000080"/>
      </patternFill>
    </fill>
    <fill>
      <patternFill patternType="solid">
        <fgColor rgb="FFFFF2CC"/>
        <bgColor rgb="FFFFEB9C"/>
      </patternFill>
    </fill>
    <fill>
      <patternFill patternType="solid">
        <fgColor rgb="FF2F5597"/>
        <bgColor rgb="FF595959"/>
      </patternFill>
    </fill>
    <fill>
      <patternFill patternType="solid">
        <fgColor rgb="FFEEF2FB"/>
        <bgColor rgb="FFFFFFFF"/>
      </patternFill>
    </fill>
    <fill>
      <patternFill patternType="solid">
        <fgColor rgb="FFDDE5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E6"/>
      </left>
      <right style="thin">
        <color rgb="FFBFC9E6"/>
      </right>
      <top style="thin">
        <color rgb="FFBFC9E6"/>
      </top>
      <bottom style="thin">
        <color rgb="FFBFC9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EF2FB"/>
      <rgbColor rgb="FF660066"/>
      <rgbColor rgb="FFFF8080"/>
      <rgbColor rgb="FF0066CC"/>
      <rgbColor rgb="FFBFC9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5F7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1C7C"/>
      <rgbColor rgb="FF339966"/>
      <rgbColor rgb="FF0033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K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9"/>
    <col collapsed="false" customWidth="true" hidden="false" outlineLevel="0" max="10" min="10" style="0" width="12"/>
    <col collapsed="false" customWidth="true" hidden="false" outlineLevel="0" max="40" min="11" style="0" width="7.2"/>
  </cols>
  <sheetData>
    <row r="1" customFormat="false" ht="25.5" hidden="false" customHeight="tru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3" t="s">
        <v>2</v>
      </c>
      <c r="D2" s="3"/>
      <c r="F2" s="2" t="s">
        <v>3</v>
      </c>
      <c r="G2" s="2"/>
      <c r="H2" s="4" t="n">
        <v>0.75</v>
      </c>
      <c r="I2" s="2" t="s">
        <v>4</v>
      </c>
      <c r="J2" s="4" t="n">
        <v>0.9</v>
      </c>
    </row>
    <row r="3" customFormat="false" ht="15" hidden="false" customHeight="false" outlineLevel="0" collapsed="false">
      <c r="A3" s="5" t="s">
        <v>5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21.75" hidden="false" customHeight="true" outlineLevel="0" collapsed="false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6" t="str">
        <f aca="false">TEXT(K5,"ddd")</f>
        <v>Mon</v>
      </c>
      <c r="L4" s="6" t="str">
        <f aca="false">TEXT(L5,"ddd")</f>
        <v>Fri</v>
      </c>
      <c r="M4" s="6" t="str">
        <f aca="false">TEXT(M5,"ddd")</f>
        <v>Thu</v>
      </c>
      <c r="N4" s="6" t="str">
        <f aca="false">TEXT(N5,"ddd")</f>
        <v>Wed</v>
      </c>
      <c r="O4" s="6" t="str">
        <f aca="false">TEXT(O5,"ddd")</f>
        <v>Tue</v>
      </c>
      <c r="P4" s="6" t="str">
        <f aca="false">TEXT(P5,"ddd")</f>
        <v>Mon</v>
      </c>
      <c r="Q4" s="6" t="str">
        <f aca="false">TEXT(Q5,"ddd")</f>
        <v>Fri</v>
      </c>
      <c r="R4" s="6" t="str">
        <f aca="false">TEXT(R5,"ddd")</f>
        <v>Thu</v>
      </c>
      <c r="S4" s="6" t="str">
        <f aca="false">TEXT(S5,"ddd")</f>
        <v>Wed</v>
      </c>
      <c r="T4" s="6" t="str">
        <f aca="false">TEXT(T5,"ddd")</f>
        <v>Tue</v>
      </c>
      <c r="U4" s="6" t="str">
        <f aca="false">TEXT(U5,"ddd")</f>
        <v>Mon</v>
      </c>
      <c r="V4" s="6" t="str">
        <f aca="false">TEXT(V5,"ddd")</f>
        <v>Fri</v>
      </c>
      <c r="W4" s="6" t="str">
        <f aca="false">TEXT(W5,"ddd")</f>
        <v>Thu</v>
      </c>
      <c r="X4" s="6" t="str">
        <f aca="false">TEXT(X5,"ddd")</f>
        <v>Wed</v>
      </c>
      <c r="Y4" s="6" t="str">
        <f aca="false">TEXT(Y5,"ddd")</f>
        <v>Tue</v>
      </c>
      <c r="Z4" s="6" t="str">
        <f aca="false">TEXT(Z5,"ddd")</f>
        <v>Mon</v>
      </c>
      <c r="AA4" s="6" t="str">
        <f aca="false">TEXT(AA5,"ddd")</f>
        <v>Fri</v>
      </c>
      <c r="AB4" s="6" t="str">
        <f aca="false">TEXT(AB5,"ddd")</f>
        <v>Thu</v>
      </c>
      <c r="AC4" s="6" t="str">
        <f aca="false">TEXT(AC5,"ddd")</f>
        <v>Wed</v>
      </c>
      <c r="AD4" s="6" t="str">
        <f aca="false">TEXT(AD5,"ddd")</f>
        <v>Tue</v>
      </c>
      <c r="AE4" s="6" t="str">
        <f aca="false">TEXT(AE5,"ddd")</f>
        <v>Mon</v>
      </c>
      <c r="AF4" s="6" t="str">
        <f aca="false">TEXT(AF5,"ddd")</f>
        <v>Fri</v>
      </c>
      <c r="AG4" s="6" t="str">
        <f aca="false">TEXT(AG5,"ddd")</f>
        <v>Thu</v>
      </c>
      <c r="AH4" s="6" t="str">
        <f aca="false">TEXT(AH5,"ddd")</f>
        <v>Wed</v>
      </c>
      <c r="AI4" s="6" t="str">
        <f aca="false">TEXT(AI5,"ddd")</f>
        <v>Tue</v>
      </c>
      <c r="AJ4" s="6" t="str">
        <f aca="false">TEXT(AJ5,"ddd")</f>
        <v>Mon</v>
      </c>
      <c r="AK4" s="6" t="str">
        <f aca="false">TEXT(AK5,"ddd")</f>
        <v>Fri</v>
      </c>
      <c r="AL4" s="6" t="str">
        <f aca="false">TEXT(AL5,"ddd")</f>
        <v>Thu</v>
      </c>
      <c r="AM4" s="6" t="str">
        <f aca="false">TEXT(AM5,"ddd")</f>
        <v>Wed</v>
      </c>
      <c r="AN4" s="6" t="str">
        <f aca="false">TEXT(AN5,"ddd")</f>
        <v>Tue</v>
      </c>
    </row>
    <row r="5" customFormat="false" ht="24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7" t="n">
        <v>46307</v>
      </c>
      <c r="L5" s="8" t="n">
        <f aca="false">WORKDAY(K5,-1)</f>
        <v>46304</v>
      </c>
      <c r="M5" s="8" t="n">
        <f aca="false">WORKDAY(L5,-1)</f>
        <v>46303</v>
      </c>
      <c r="N5" s="8" t="n">
        <f aca="false">WORKDAY(M5,-1)</f>
        <v>46302</v>
      </c>
      <c r="O5" s="8" t="n">
        <f aca="false">WORKDAY(N5,-1)</f>
        <v>46301</v>
      </c>
      <c r="P5" s="8" t="n">
        <f aca="false">WORKDAY(O5,-1)</f>
        <v>46300</v>
      </c>
      <c r="Q5" s="8" t="n">
        <f aca="false">WORKDAY(P5,-1)</f>
        <v>46297</v>
      </c>
      <c r="R5" s="8" t="n">
        <f aca="false">WORKDAY(Q5,-1)</f>
        <v>46296</v>
      </c>
      <c r="S5" s="8" t="n">
        <f aca="false">WORKDAY(R5,-1)</f>
        <v>46295</v>
      </c>
      <c r="T5" s="8" t="n">
        <f aca="false">WORKDAY(S5,-1)</f>
        <v>46294</v>
      </c>
      <c r="U5" s="8" t="n">
        <f aca="false">WORKDAY(T5,-1)</f>
        <v>46293</v>
      </c>
      <c r="V5" s="8" t="n">
        <f aca="false">WORKDAY(U5,-1)</f>
        <v>46290</v>
      </c>
      <c r="W5" s="8" t="n">
        <f aca="false">WORKDAY(V5,-1)</f>
        <v>46289</v>
      </c>
      <c r="X5" s="8" t="n">
        <f aca="false">WORKDAY(W5,-1)</f>
        <v>46288</v>
      </c>
      <c r="Y5" s="8" t="n">
        <f aca="false">WORKDAY(X5,-1)</f>
        <v>46287</v>
      </c>
      <c r="Z5" s="8" t="n">
        <f aca="false">WORKDAY(Y5,-1)</f>
        <v>46286</v>
      </c>
      <c r="AA5" s="8" t="n">
        <f aca="false">WORKDAY(Z5,-1)</f>
        <v>46283</v>
      </c>
      <c r="AB5" s="8" t="n">
        <f aca="false">WORKDAY(AA5,-1)</f>
        <v>46282</v>
      </c>
      <c r="AC5" s="8" t="n">
        <f aca="false">WORKDAY(AB5,-1)</f>
        <v>46281</v>
      </c>
      <c r="AD5" s="8" t="n">
        <f aca="false">WORKDAY(AC5,-1)</f>
        <v>46280</v>
      </c>
      <c r="AE5" s="8" t="n">
        <f aca="false">WORKDAY(AD5,-1)</f>
        <v>46279</v>
      </c>
      <c r="AF5" s="8" t="n">
        <f aca="false">WORKDAY(AE5,-1)</f>
        <v>46276</v>
      </c>
      <c r="AG5" s="8" t="n">
        <f aca="false">WORKDAY(AF5,-1)</f>
        <v>46275</v>
      </c>
      <c r="AH5" s="8" t="n">
        <f aca="false">WORKDAY(AG5,-1)</f>
        <v>46274</v>
      </c>
      <c r="AI5" s="8" t="n">
        <f aca="false">WORKDAY(AH5,-1)</f>
        <v>46273</v>
      </c>
      <c r="AJ5" s="8" t="n">
        <f aca="false">WORKDAY(AI5,-1)</f>
        <v>46272</v>
      </c>
      <c r="AK5" s="8" t="n">
        <f aca="false">WORKDAY(AJ5,-1)</f>
        <v>46269</v>
      </c>
      <c r="AL5" s="8" t="n">
        <f aca="false">WORKDAY(AK5,-1)</f>
        <v>46268</v>
      </c>
      <c r="AM5" s="8" t="n">
        <f aca="false">WORKDAY(AL5,-1)</f>
        <v>46267</v>
      </c>
      <c r="AN5" s="8" t="n">
        <f aca="false">WORKDAY(AM5,-1)</f>
        <v>46266</v>
      </c>
    </row>
    <row r="6" customFormat="false" ht="19.5" hidden="false" customHeight="true" outlineLevel="0" collapsed="false">
      <c r="A6" s="9" t="n">
        <v>1</v>
      </c>
      <c r="B6" s="10" t="s">
        <v>16</v>
      </c>
      <c r="C6" s="11" t="s">
        <v>17</v>
      </c>
      <c r="D6" s="12" t="str">
        <f aca="false">IF(N(I6)=0,"",(F6+G6)/I6)</f>
        <v/>
      </c>
      <c r="E6" s="13" t="str">
        <f aca="false">IF(N(I6)=0,"",G6/I6)</f>
        <v/>
      </c>
      <c r="F6" s="14" t="n">
        <f aca="false">IF($C6="","",COUNTIF(INDEX($6:$6,11):INDEX($6:$6,200),"P"))</f>
        <v>0</v>
      </c>
      <c r="G6" s="14" t="n">
        <f aca="false">IF($C6="","",COUNTIF(INDEX($6:$6,11):INDEX($6:$6,200),"L"))</f>
        <v>0</v>
      </c>
      <c r="H6" s="14" t="n">
        <f aca="false">IF($C6="","",COUNTIF(INDEX($6:$6,11):INDEX($6:$6,200),"A"))</f>
        <v>0</v>
      </c>
      <c r="I6" s="14" t="n">
        <f aca="false">IF($C6="","",N(F6)+N(G6)+N(H6))</f>
        <v>0</v>
      </c>
      <c r="J6" s="15" t="str">
        <f aca="false">IF(N(I6)=0,"",IF(D6&lt;$H$2,"At Risk",IF(D6&gt;=$J$2,"Excellent","Good")))</f>
        <v/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customFormat="false" ht="19.5" hidden="false" customHeight="true" outlineLevel="0" collapsed="false">
      <c r="A7" s="16" t="n">
        <v>2</v>
      </c>
      <c r="B7" s="17" t="s">
        <v>18</v>
      </c>
      <c r="C7" s="18" t="s">
        <v>19</v>
      </c>
      <c r="D7" s="19" t="str">
        <f aca="false">IF(N(I7)=0,"",(F7+G7)/I7)</f>
        <v/>
      </c>
      <c r="E7" s="20" t="str">
        <f aca="false">IF(N(I7)=0,"",G7/I7)</f>
        <v/>
      </c>
      <c r="F7" s="21" t="n">
        <f aca="false">IF($C7="","",COUNTIF(INDEX($7:$7,11):INDEX($7:$7,200),"P"))</f>
        <v>0</v>
      </c>
      <c r="G7" s="21" t="n">
        <f aca="false">IF($C7="","",COUNTIF(INDEX($7:$7,11):INDEX($7:$7,200),"L"))</f>
        <v>0</v>
      </c>
      <c r="H7" s="21" t="n">
        <f aca="false">IF($C7="","",COUNTIF(INDEX($7:$7,11):INDEX($7:$7,200),"A"))</f>
        <v>0</v>
      </c>
      <c r="I7" s="21" t="n">
        <f aca="false">IF($C7="","",N(F7)+N(G7)+N(H7))</f>
        <v>0</v>
      </c>
      <c r="J7" s="22" t="str">
        <f aca="false">IF(N(I7)=0,"",IF(D7&lt;$H$2,"At Risk",IF(D7&gt;=$J$2,"Excellent","Good")))</f>
        <v/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</row>
    <row r="8" customFormat="false" ht="19.5" hidden="false" customHeight="true" outlineLevel="0" collapsed="false">
      <c r="A8" s="9" t="n">
        <v>3</v>
      </c>
      <c r="B8" s="10" t="s">
        <v>20</v>
      </c>
      <c r="C8" s="11" t="s">
        <v>21</v>
      </c>
      <c r="D8" s="12" t="str">
        <f aca="false">IF(N(I8)=0,"",(F8+G8)/I8)</f>
        <v/>
      </c>
      <c r="E8" s="13" t="str">
        <f aca="false">IF(N(I8)=0,"",G8/I8)</f>
        <v/>
      </c>
      <c r="F8" s="14" t="n">
        <f aca="false">IF($C8="","",COUNTIF(INDEX($8:$8,11):INDEX($8:$8,200),"P"))</f>
        <v>0</v>
      </c>
      <c r="G8" s="14" t="n">
        <f aca="false">IF($C8="","",COUNTIF(INDEX($8:$8,11):INDEX($8:$8,200),"L"))</f>
        <v>0</v>
      </c>
      <c r="H8" s="14" t="n">
        <f aca="false">IF($C8="","",COUNTIF(INDEX($8:$8,11):INDEX($8:$8,200),"A"))</f>
        <v>0</v>
      </c>
      <c r="I8" s="14" t="n">
        <f aca="false">IF($C8="","",N(F8)+N(G8)+N(H8))</f>
        <v>0</v>
      </c>
      <c r="J8" s="15" t="str">
        <f aca="false">IF(N(I8)=0,"",IF(D8&lt;$H$2,"At Risk",IF(D8&gt;=$J$2,"Excellent","Good")))</f>
        <v/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customFormat="false" ht="19.5" hidden="false" customHeight="true" outlineLevel="0" collapsed="false">
      <c r="A9" s="16" t="n">
        <v>4</v>
      </c>
      <c r="B9" s="17" t="s">
        <v>20</v>
      </c>
      <c r="C9" s="18" t="s">
        <v>22</v>
      </c>
      <c r="D9" s="19" t="str">
        <f aca="false">IF(N(I9)=0,"",(F9+G9)/I9)</f>
        <v/>
      </c>
      <c r="E9" s="20" t="str">
        <f aca="false">IF(N(I9)=0,"",G9/I9)</f>
        <v/>
      </c>
      <c r="F9" s="21" t="n">
        <f aca="false">IF($C9="","",COUNTIF(INDEX($9:$9,11):INDEX($9:$9,200),"P"))</f>
        <v>0</v>
      </c>
      <c r="G9" s="21" t="n">
        <f aca="false">IF($C9="","",COUNTIF(INDEX($9:$9,11):INDEX($9:$9,200),"L"))</f>
        <v>0</v>
      </c>
      <c r="H9" s="21" t="n">
        <f aca="false">IF($C9="","",COUNTIF(INDEX($9:$9,11):INDEX($9:$9,200),"A"))</f>
        <v>0</v>
      </c>
      <c r="I9" s="21" t="n">
        <f aca="false">IF($C9="","",N(F9)+N(G9)+N(H9))</f>
        <v>0</v>
      </c>
      <c r="J9" s="22" t="str">
        <f aca="false">IF(N(I9)=0,"",IF(D9&lt;$H$2,"At Risk",IF(D9&gt;=$J$2,"Excellent","Good")))</f>
        <v/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customFormat="false" ht="19.5" hidden="false" customHeight="true" outlineLevel="0" collapsed="false">
      <c r="A10" s="9" t="n">
        <v>5</v>
      </c>
      <c r="B10" s="10" t="s">
        <v>20</v>
      </c>
      <c r="C10" s="11" t="s">
        <v>23</v>
      </c>
      <c r="D10" s="12" t="str">
        <f aca="false">IF(N(I10)=0,"",(F10+G10)/I10)</f>
        <v/>
      </c>
      <c r="E10" s="13" t="str">
        <f aca="false">IF(N(I10)=0,"",G10/I10)</f>
        <v/>
      </c>
      <c r="F10" s="14" t="n">
        <f aca="false">IF($C10="","",COUNTIF(INDEX($10:$10,11):INDEX($10:$10,200),"P"))</f>
        <v>0</v>
      </c>
      <c r="G10" s="14" t="n">
        <f aca="false">IF($C10="","",COUNTIF(INDEX($10:$10,11):INDEX($10:$10,200),"L"))</f>
        <v>0</v>
      </c>
      <c r="H10" s="14" t="n">
        <f aca="false">IF($C10="","",COUNTIF(INDEX($10:$10,11):INDEX($10:$10,200),"A"))</f>
        <v>0</v>
      </c>
      <c r="I10" s="14" t="n">
        <f aca="false">IF($C10="","",N(F10)+N(G10)+N(H10))</f>
        <v>0</v>
      </c>
      <c r="J10" s="15" t="str">
        <f aca="false">IF(N(I10)=0,"",IF(D10&lt;$H$2,"At Risk",IF(D10&gt;=$J$2,"Excellent","Good")))</f>
        <v/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 customFormat="false" ht="19.5" hidden="false" customHeight="true" outlineLevel="0" collapsed="false">
      <c r="A11" s="16" t="n">
        <v>6</v>
      </c>
      <c r="B11" s="17" t="s">
        <v>20</v>
      </c>
      <c r="C11" s="18" t="s">
        <v>24</v>
      </c>
      <c r="D11" s="19" t="str">
        <f aca="false">IF(N(I11)=0,"",(F11+G11)/I11)</f>
        <v/>
      </c>
      <c r="E11" s="20" t="str">
        <f aca="false">IF(N(I11)=0,"",G11/I11)</f>
        <v/>
      </c>
      <c r="F11" s="21" t="n">
        <f aca="false">IF($C11="","",COUNTIF(INDEX($11:$11,11):INDEX($11:$11,200),"P"))</f>
        <v>0</v>
      </c>
      <c r="G11" s="21" t="n">
        <f aca="false">IF($C11="","",COUNTIF(INDEX($11:$11,11):INDEX($11:$11,200),"L"))</f>
        <v>0</v>
      </c>
      <c r="H11" s="21" t="n">
        <f aca="false">IF($C11="","",COUNTIF(INDEX($11:$11,11):INDEX($11:$11,200),"A"))</f>
        <v>0</v>
      </c>
      <c r="I11" s="21" t="n">
        <f aca="false">IF($C11="","",N(F11)+N(G11)+N(H11))</f>
        <v>0</v>
      </c>
      <c r="J11" s="22" t="str">
        <f aca="false">IF(N(I11)=0,"",IF(D11&lt;$H$2,"At Risk",IF(D11&gt;=$J$2,"Excellent","Good")))</f>
        <v/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customFormat="false" ht="19.5" hidden="false" customHeight="true" outlineLevel="0" collapsed="false">
      <c r="A12" s="9" t="n">
        <v>7</v>
      </c>
      <c r="B12" s="10" t="s">
        <v>20</v>
      </c>
      <c r="C12" s="11" t="s">
        <v>25</v>
      </c>
      <c r="D12" s="12" t="str">
        <f aca="false">IF(N(I12)=0,"",(F12+G12)/I12)</f>
        <v/>
      </c>
      <c r="E12" s="13" t="str">
        <f aca="false">IF(N(I12)=0,"",G12/I12)</f>
        <v/>
      </c>
      <c r="F12" s="14" t="n">
        <f aca="false">IF($C12="","",COUNTIF(INDEX($12:$12,11):INDEX($12:$12,200),"P"))</f>
        <v>0</v>
      </c>
      <c r="G12" s="14" t="n">
        <f aca="false">IF($C12="","",COUNTIF(INDEX($12:$12,11):INDEX($12:$12,200),"L"))</f>
        <v>0</v>
      </c>
      <c r="H12" s="14" t="n">
        <f aca="false">IF($C12="","",COUNTIF(INDEX($12:$12,11):INDEX($12:$12,200),"A"))</f>
        <v>0</v>
      </c>
      <c r="I12" s="14" t="n">
        <f aca="false">IF($C12="","",N(F12)+N(G12)+N(H12))</f>
        <v>0</v>
      </c>
      <c r="J12" s="15" t="str">
        <f aca="false">IF(N(I12)=0,"",IF(D12&lt;$H$2,"At Risk",IF(D12&gt;=$J$2,"Excellent","Good")))</f>
        <v/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customFormat="false" ht="19.5" hidden="false" customHeight="true" outlineLevel="0" collapsed="false">
      <c r="A13" s="16" t="n">
        <v>8</v>
      </c>
      <c r="B13" s="17" t="s">
        <v>20</v>
      </c>
      <c r="C13" s="18" t="s">
        <v>26</v>
      </c>
      <c r="D13" s="19" t="str">
        <f aca="false">IF(N(I13)=0,"",(F13+G13)/I13)</f>
        <v/>
      </c>
      <c r="E13" s="20" t="str">
        <f aca="false">IF(N(I13)=0,"",G13/I13)</f>
        <v/>
      </c>
      <c r="F13" s="21" t="n">
        <f aca="false">IF($C13="","",COUNTIF(INDEX($13:$13,11):INDEX($13:$13,200),"P"))</f>
        <v>0</v>
      </c>
      <c r="G13" s="21" t="n">
        <f aca="false">IF($C13="","",COUNTIF(INDEX($13:$13,11):INDEX($13:$13,200),"L"))</f>
        <v>0</v>
      </c>
      <c r="H13" s="21" t="n">
        <f aca="false">IF($C13="","",COUNTIF(INDEX($13:$13,11):INDEX($13:$13,200),"A"))</f>
        <v>0</v>
      </c>
      <c r="I13" s="21" t="n">
        <f aca="false">IF($C13="","",N(F13)+N(G13)+N(H13))</f>
        <v>0</v>
      </c>
      <c r="J13" s="22" t="str">
        <f aca="false">IF(N(I13)=0,"",IF(D13&lt;$H$2,"At Risk",IF(D13&gt;=$J$2,"Excellent","Good")))</f>
        <v/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customFormat="false" ht="19.5" hidden="false" customHeight="true" outlineLevel="0" collapsed="false">
      <c r="A14" s="9" t="n">
        <v>9</v>
      </c>
      <c r="B14" s="10" t="s">
        <v>20</v>
      </c>
      <c r="C14" s="11" t="s">
        <v>27</v>
      </c>
      <c r="D14" s="12" t="str">
        <f aca="false">IF(N(I14)=0,"",(F14+G14)/I14)</f>
        <v/>
      </c>
      <c r="E14" s="13" t="str">
        <f aca="false">IF(N(I14)=0,"",G14/I14)</f>
        <v/>
      </c>
      <c r="F14" s="14" t="n">
        <f aca="false">IF($C14="","",COUNTIF(INDEX($14:$14,11):INDEX($14:$14,200),"P"))</f>
        <v>0</v>
      </c>
      <c r="G14" s="14" t="n">
        <f aca="false">IF($C14="","",COUNTIF(INDEX($14:$14,11):INDEX($14:$14,200),"L"))</f>
        <v>0</v>
      </c>
      <c r="H14" s="14" t="n">
        <f aca="false">IF($C14="","",COUNTIF(INDEX($14:$14,11):INDEX($14:$14,200),"A"))</f>
        <v>0</v>
      </c>
      <c r="I14" s="14" t="n">
        <f aca="false">IF($C14="","",N(F14)+N(G14)+N(H14))</f>
        <v>0</v>
      </c>
      <c r="J14" s="15" t="str">
        <f aca="false">IF(N(I14)=0,"",IF(D14&lt;$H$2,"At Risk",IF(D14&gt;=$J$2,"Excellent","Good")))</f>
        <v/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customFormat="false" ht="19.5" hidden="false" customHeight="true" outlineLevel="0" collapsed="false">
      <c r="A15" s="16" t="n">
        <v>10</v>
      </c>
      <c r="B15" s="17" t="s">
        <v>18</v>
      </c>
      <c r="C15" s="18" t="s">
        <v>28</v>
      </c>
      <c r="D15" s="19" t="str">
        <f aca="false">IF(N(I15)=0,"",(F15+G15)/I15)</f>
        <v/>
      </c>
      <c r="E15" s="20" t="str">
        <f aca="false">IF(N(I15)=0,"",G15/I15)</f>
        <v/>
      </c>
      <c r="F15" s="21" t="n">
        <f aca="false">IF($C15="","",COUNTIF(INDEX($15:$15,11):INDEX($15:$15,200),"P"))</f>
        <v>0</v>
      </c>
      <c r="G15" s="21" t="n">
        <f aca="false">IF($C15="","",COUNTIF(INDEX($15:$15,11):INDEX($15:$15,200),"L"))</f>
        <v>0</v>
      </c>
      <c r="H15" s="21" t="n">
        <f aca="false">IF($C15="","",COUNTIF(INDEX($15:$15,11):INDEX($15:$15,200),"A"))</f>
        <v>0</v>
      </c>
      <c r="I15" s="21" t="n">
        <f aca="false">IF($C15="","",N(F15)+N(G15)+N(H15))</f>
        <v>0</v>
      </c>
      <c r="J15" s="22" t="str">
        <f aca="false">IF(N(I15)=0,"",IF(D15&lt;$H$2,"At Risk",IF(D15&gt;=$J$2,"Excellent","Good")))</f>
        <v/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customFormat="false" ht="19.5" hidden="false" customHeight="true" outlineLevel="0" collapsed="false">
      <c r="A16" s="9" t="n">
        <v>11</v>
      </c>
      <c r="B16" s="10" t="s">
        <v>18</v>
      </c>
      <c r="C16" s="11" t="s">
        <v>29</v>
      </c>
      <c r="D16" s="12" t="str">
        <f aca="false">IF(N(I16)=0,"",(F16+G16)/I16)</f>
        <v/>
      </c>
      <c r="E16" s="13" t="str">
        <f aca="false">IF(N(I16)=0,"",G16/I16)</f>
        <v/>
      </c>
      <c r="F16" s="14" t="n">
        <f aca="false">IF($C16="","",COUNTIF(INDEX($16:$16,11):INDEX($16:$16,200),"P"))</f>
        <v>0</v>
      </c>
      <c r="G16" s="14" t="n">
        <f aca="false">IF($C16="","",COUNTIF(INDEX($16:$16,11):INDEX($16:$16,200),"L"))</f>
        <v>0</v>
      </c>
      <c r="H16" s="14" t="n">
        <f aca="false">IF($C16="","",COUNTIF(INDEX($16:$16,11):INDEX($16:$16,200),"A"))</f>
        <v>0</v>
      </c>
      <c r="I16" s="14" t="n">
        <f aca="false">IF($C16="","",N(F16)+N(G16)+N(H16))</f>
        <v>0</v>
      </c>
      <c r="J16" s="15" t="str">
        <f aca="false">IF(N(I16)=0,"",IF(D16&lt;$H$2,"At Risk",IF(D16&gt;=$J$2,"Excellent","Good")))</f>
        <v/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customFormat="false" ht="19.5" hidden="false" customHeight="true" outlineLevel="0" collapsed="false">
      <c r="A17" s="16" t="n">
        <v>12</v>
      </c>
      <c r="B17" s="17" t="s">
        <v>18</v>
      </c>
      <c r="C17" s="18" t="s">
        <v>30</v>
      </c>
      <c r="D17" s="19" t="str">
        <f aca="false">IF(N(I17)=0,"",(F17+G17)/I17)</f>
        <v/>
      </c>
      <c r="E17" s="20" t="str">
        <f aca="false">IF(N(I17)=0,"",G17/I17)</f>
        <v/>
      </c>
      <c r="F17" s="21" t="n">
        <f aca="false">IF($C17="","",COUNTIF(INDEX($17:$17,11):INDEX($17:$17,200),"P"))</f>
        <v>0</v>
      </c>
      <c r="G17" s="21" t="n">
        <f aca="false">IF($C17="","",COUNTIF(INDEX($17:$17,11):INDEX($17:$17,200),"L"))</f>
        <v>0</v>
      </c>
      <c r="H17" s="21" t="n">
        <f aca="false">IF($C17="","",COUNTIF(INDEX($17:$17,11):INDEX($17:$17,200),"A"))</f>
        <v>0</v>
      </c>
      <c r="I17" s="21" t="n">
        <f aca="false">IF($C17="","",N(F17)+N(G17)+N(H17))</f>
        <v>0</v>
      </c>
      <c r="J17" s="22" t="str">
        <f aca="false">IF(N(I17)=0,"",IF(D17&lt;$H$2,"At Risk",IF(D17&gt;=$J$2,"Excellent","Good")))</f>
        <v/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customFormat="false" ht="19.5" hidden="false" customHeight="true" outlineLevel="0" collapsed="false">
      <c r="A18" s="9" t="n">
        <v>13</v>
      </c>
      <c r="B18" s="10" t="s">
        <v>18</v>
      </c>
      <c r="C18" s="11" t="s">
        <v>31</v>
      </c>
      <c r="D18" s="12" t="str">
        <f aca="false">IF(N(I18)=0,"",(F18+G18)/I18)</f>
        <v/>
      </c>
      <c r="E18" s="13" t="str">
        <f aca="false">IF(N(I18)=0,"",G18/I18)</f>
        <v/>
      </c>
      <c r="F18" s="14" t="n">
        <f aca="false">IF($C18="","",COUNTIF(INDEX($18:$18,11):INDEX($18:$18,200),"P"))</f>
        <v>0</v>
      </c>
      <c r="G18" s="14" t="n">
        <f aca="false">IF($C18="","",COUNTIF(INDEX($18:$18,11):INDEX($18:$18,200),"L"))</f>
        <v>0</v>
      </c>
      <c r="H18" s="14" t="n">
        <f aca="false">IF($C18="","",COUNTIF(INDEX($18:$18,11):INDEX($18:$18,200),"A"))</f>
        <v>0</v>
      </c>
      <c r="I18" s="14" t="n">
        <f aca="false">IF($C18="","",N(F18)+N(G18)+N(H18))</f>
        <v>0</v>
      </c>
      <c r="J18" s="15" t="str">
        <f aca="false">IF(N(I18)=0,"",IF(D18&lt;$H$2,"At Risk",IF(D18&gt;=$J$2,"Excellent","Good")))</f>
        <v/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customFormat="false" ht="19.5" hidden="false" customHeight="true" outlineLevel="0" collapsed="false">
      <c r="A19" s="16" t="n">
        <v>14</v>
      </c>
      <c r="B19" s="17" t="s">
        <v>18</v>
      </c>
      <c r="C19" s="18" t="s">
        <v>32</v>
      </c>
      <c r="D19" s="19" t="str">
        <f aca="false">IF(N(I19)=0,"",(F19+G19)/I19)</f>
        <v/>
      </c>
      <c r="E19" s="20" t="str">
        <f aca="false">IF(N(I19)=0,"",G19/I19)</f>
        <v/>
      </c>
      <c r="F19" s="21" t="n">
        <f aca="false">IF($C19="","",COUNTIF(INDEX($19:$19,11):INDEX($19:$19,200),"P"))</f>
        <v>0</v>
      </c>
      <c r="G19" s="21" t="n">
        <f aca="false">IF($C19="","",COUNTIF(INDEX($19:$19,11):INDEX($19:$19,200),"L"))</f>
        <v>0</v>
      </c>
      <c r="H19" s="21" t="n">
        <f aca="false">IF($C19="","",COUNTIF(INDEX($19:$19,11):INDEX($19:$19,200),"A"))</f>
        <v>0</v>
      </c>
      <c r="I19" s="21" t="n">
        <f aca="false">IF($C19="","",N(F19)+N(G19)+N(H19))</f>
        <v>0</v>
      </c>
      <c r="J19" s="22" t="str">
        <f aca="false">IF(N(I19)=0,"",IF(D19&lt;$H$2,"At Risk",IF(D19&gt;=$J$2,"Excellent","Good")))</f>
        <v/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customFormat="false" ht="19.5" hidden="false" customHeight="true" outlineLevel="0" collapsed="false">
      <c r="A20" s="9" t="n">
        <v>15</v>
      </c>
      <c r="B20" s="10" t="s">
        <v>33</v>
      </c>
      <c r="C20" s="11" t="s">
        <v>34</v>
      </c>
      <c r="D20" s="12" t="str">
        <f aca="false">IF(N(I20)=0,"",(F20+G20)/I20)</f>
        <v/>
      </c>
      <c r="E20" s="13" t="str">
        <f aca="false">IF(N(I20)=0,"",G20/I20)</f>
        <v/>
      </c>
      <c r="F20" s="14" t="n">
        <f aca="false">IF($C20="","",COUNTIF(INDEX($20:$20,11):INDEX($20:$20,200),"P"))</f>
        <v>0</v>
      </c>
      <c r="G20" s="14" t="n">
        <f aca="false">IF($C20="","",COUNTIF(INDEX($20:$20,11):INDEX($20:$20,200),"L"))</f>
        <v>0</v>
      </c>
      <c r="H20" s="14" t="n">
        <f aca="false">IF($C20="","",COUNTIF(INDEX($20:$20,11):INDEX($20:$20,200),"A"))</f>
        <v>0</v>
      </c>
      <c r="I20" s="14" t="n">
        <f aca="false">IF($C20="","",N(F20)+N(G20)+N(H20))</f>
        <v>0</v>
      </c>
      <c r="J20" s="15" t="str">
        <f aca="false">IF(N(I20)=0,"",IF(D20&lt;$H$2,"At Risk",IF(D20&gt;=$J$2,"Excellent","Good")))</f>
        <v/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customFormat="false" ht="19.5" hidden="false" customHeight="true" outlineLevel="0" collapsed="false">
      <c r="A21" s="16" t="n">
        <v>16</v>
      </c>
      <c r="B21" s="17" t="s">
        <v>16</v>
      </c>
      <c r="C21" s="18" t="s">
        <v>35</v>
      </c>
      <c r="D21" s="19" t="str">
        <f aca="false">IF(N(I21)=0,"",(F21+G21)/I21)</f>
        <v/>
      </c>
      <c r="E21" s="20" t="str">
        <f aca="false">IF(N(I21)=0,"",G21/I21)</f>
        <v/>
      </c>
      <c r="F21" s="21" t="n">
        <f aca="false">IF($C21="","",COUNTIF(INDEX($21:$21,11):INDEX($21:$21,200),"P"))</f>
        <v>0</v>
      </c>
      <c r="G21" s="21" t="n">
        <f aca="false">IF($C21="","",COUNTIF(INDEX($21:$21,11):INDEX($21:$21,200),"L"))</f>
        <v>0</v>
      </c>
      <c r="H21" s="21" t="n">
        <f aca="false">IF($C21="","",COUNTIF(INDEX($21:$21,11):INDEX($21:$21,200),"A"))</f>
        <v>0</v>
      </c>
      <c r="I21" s="21" t="n">
        <f aca="false">IF($C21="","",N(F21)+N(G21)+N(H21))</f>
        <v>0</v>
      </c>
      <c r="J21" s="22" t="str">
        <f aca="false">IF(N(I21)=0,"",IF(D21&lt;$H$2,"At Risk",IF(D21&gt;=$J$2,"Excellent","Good")))</f>
        <v/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customFormat="false" ht="19.5" hidden="false" customHeight="true" outlineLevel="0" collapsed="false">
      <c r="A22" s="9" t="str">
        <f aca="false">IF(C22="","",ROW()-5)</f>
        <v/>
      </c>
      <c r="B22" s="10"/>
      <c r="C22" s="11"/>
      <c r="D22" s="12" t="str">
        <f aca="false">IF(N(I22)=0,"",(F22+G22)/I22)</f>
        <v/>
      </c>
      <c r="E22" s="13" t="str">
        <f aca="false">IF(N(I22)=0,"",G22/I22)</f>
        <v/>
      </c>
      <c r="F22" s="14" t="str">
        <f aca="false">IF($C22="","",COUNTIF(INDEX($22:$22,11):INDEX($22:$22,200),"P"))</f>
        <v/>
      </c>
      <c r="G22" s="14" t="str">
        <f aca="false">IF($C22="","",COUNTIF(INDEX($22:$22,11):INDEX($22:$22,200),"L"))</f>
        <v/>
      </c>
      <c r="H22" s="14" t="str">
        <f aca="false">IF($C22="","",COUNTIF(INDEX($22:$22,11):INDEX($22:$22,200),"A"))</f>
        <v/>
      </c>
      <c r="I22" s="14" t="str">
        <f aca="false">IF($C22="","",N(F22)+N(G22)+N(H22))</f>
        <v/>
      </c>
      <c r="J22" s="15" t="str">
        <f aca="false">IF(N(I22)=0,"",IF(D22&lt;$H$2,"At Risk",IF(D22&gt;=$J$2,"Excellent","Good")))</f>
        <v/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customFormat="false" ht="19.5" hidden="false" customHeight="true" outlineLevel="0" collapsed="false">
      <c r="A23" s="16" t="str">
        <f aca="false">IF(C23="","",ROW()-5)</f>
        <v/>
      </c>
      <c r="B23" s="17"/>
      <c r="C23" s="18"/>
      <c r="D23" s="19" t="str">
        <f aca="false">IF(N(I23)=0,"",(F23+G23)/I23)</f>
        <v/>
      </c>
      <c r="E23" s="20" t="str">
        <f aca="false">IF(N(I23)=0,"",G23/I23)</f>
        <v/>
      </c>
      <c r="F23" s="21" t="str">
        <f aca="false">IF($C23="","",COUNTIF(INDEX($23:$23,11):INDEX($23:$23,200),"P"))</f>
        <v/>
      </c>
      <c r="G23" s="21" t="str">
        <f aca="false">IF($C23="","",COUNTIF(INDEX($23:$23,11):INDEX($23:$23,200),"L"))</f>
        <v/>
      </c>
      <c r="H23" s="21" t="str">
        <f aca="false">IF($C23="","",COUNTIF(INDEX($23:$23,11):INDEX($23:$23,200),"A"))</f>
        <v/>
      </c>
      <c r="I23" s="21" t="str">
        <f aca="false">IF($C23="","",N(F23)+N(G23)+N(H23))</f>
        <v/>
      </c>
      <c r="J23" s="22" t="str">
        <f aca="false">IF(N(I23)=0,"",IF(D23&lt;$H$2,"At Risk",IF(D23&gt;=$J$2,"Excellent","Good")))</f>
        <v/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customFormat="false" ht="19.5" hidden="false" customHeight="true" outlineLevel="0" collapsed="false">
      <c r="A24" s="9" t="str">
        <f aca="false">IF(C24="","",ROW()-5)</f>
        <v/>
      </c>
      <c r="B24" s="10"/>
      <c r="C24" s="11"/>
      <c r="D24" s="12" t="str">
        <f aca="false">IF(N(I24)=0,"",(F24+G24)/I24)</f>
        <v/>
      </c>
      <c r="E24" s="13" t="str">
        <f aca="false">IF(N(I24)=0,"",G24/I24)</f>
        <v/>
      </c>
      <c r="F24" s="14" t="str">
        <f aca="false">IF($C24="","",COUNTIF(INDEX($24:$24,11):INDEX($24:$24,200),"P"))</f>
        <v/>
      </c>
      <c r="G24" s="14" t="str">
        <f aca="false">IF($C24="","",COUNTIF(INDEX($24:$24,11):INDEX($24:$24,200),"L"))</f>
        <v/>
      </c>
      <c r="H24" s="14" t="str">
        <f aca="false">IF($C24="","",COUNTIF(INDEX($24:$24,11):INDEX($24:$24,200),"A"))</f>
        <v/>
      </c>
      <c r="I24" s="14" t="str">
        <f aca="false">IF($C24="","",N(F24)+N(G24)+N(H24))</f>
        <v/>
      </c>
      <c r="J24" s="15" t="str">
        <f aca="false">IF(N(I24)=0,"",IF(D24&lt;$H$2,"At Risk",IF(D24&gt;=$J$2,"Excellent","Good")))</f>
        <v/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customFormat="false" ht="19.5" hidden="false" customHeight="true" outlineLevel="0" collapsed="false">
      <c r="A25" s="16" t="str">
        <f aca="false">IF(C25="","",ROW()-5)</f>
        <v/>
      </c>
      <c r="B25" s="17"/>
      <c r="C25" s="18"/>
      <c r="D25" s="19" t="str">
        <f aca="false">IF(N(I25)=0,"",(F25+G25)/I25)</f>
        <v/>
      </c>
      <c r="E25" s="20" t="str">
        <f aca="false">IF(N(I25)=0,"",G25/I25)</f>
        <v/>
      </c>
      <c r="F25" s="21" t="str">
        <f aca="false">IF($C25="","",COUNTIF(INDEX($25:$25,11):INDEX($25:$25,200),"P"))</f>
        <v/>
      </c>
      <c r="G25" s="21" t="str">
        <f aca="false">IF($C25="","",COUNTIF(INDEX($25:$25,11):INDEX($25:$25,200),"L"))</f>
        <v/>
      </c>
      <c r="H25" s="21" t="str">
        <f aca="false">IF($C25="","",COUNTIF(INDEX($25:$25,11):INDEX($25:$25,200),"A"))</f>
        <v/>
      </c>
      <c r="I25" s="21" t="str">
        <f aca="false">IF($C25="","",N(F25)+N(G25)+N(H25))</f>
        <v/>
      </c>
      <c r="J25" s="22" t="str">
        <f aca="false">IF(N(I25)=0,"",IF(D25&lt;$H$2,"At Risk",IF(D25&gt;=$J$2,"Excellent","Good")))</f>
        <v/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customFormat="false" ht="19.5" hidden="false" customHeight="true" outlineLevel="0" collapsed="false">
      <c r="A26" s="9" t="str">
        <f aca="false">IF(C26="","",ROW()-5)</f>
        <v/>
      </c>
      <c r="B26" s="10"/>
      <c r="C26" s="11"/>
      <c r="D26" s="12" t="str">
        <f aca="false">IF(N(I26)=0,"",(F26+G26)/I26)</f>
        <v/>
      </c>
      <c r="E26" s="13" t="str">
        <f aca="false">IF(N(I26)=0,"",G26/I26)</f>
        <v/>
      </c>
      <c r="F26" s="14" t="str">
        <f aca="false">IF($C26="","",COUNTIF(INDEX($26:$26,11):INDEX($26:$26,200),"P"))</f>
        <v/>
      </c>
      <c r="G26" s="14" t="str">
        <f aca="false">IF($C26="","",COUNTIF(INDEX($26:$26,11):INDEX($26:$26,200),"L"))</f>
        <v/>
      </c>
      <c r="H26" s="14" t="str">
        <f aca="false">IF($C26="","",COUNTIF(INDEX($26:$26,11):INDEX($26:$26,200),"A"))</f>
        <v/>
      </c>
      <c r="I26" s="14" t="str">
        <f aca="false">IF($C26="","",N(F26)+N(G26)+N(H26))</f>
        <v/>
      </c>
      <c r="J26" s="15" t="str">
        <f aca="false">IF(N(I26)=0,"",IF(D26&lt;$H$2,"At Risk",IF(D26&gt;=$J$2,"Excellent","Good")))</f>
        <v/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customFormat="false" ht="19.5" hidden="false" customHeight="true" outlineLevel="0" collapsed="false">
      <c r="A27" s="16" t="str">
        <f aca="false">IF(C27="","",ROW()-5)</f>
        <v/>
      </c>
      <c r="B27" s="17"/>
      <c r="C27" s="18"/>
      <c r="D27" s="19" t="str">
        <f aca="false">IF(N(I27)=0,"",(F27+G27)/I27)</f>
        <v/>
      </c>
      <c r="E27" s="20" t="str">
        <f aca="false">IF(N(I27)=0,"",G27/I27)</f>
        <v/>
      </c>
      <c r="F27" s="21" t="str">
        <f aca="false">IF($C27="","",COUNTIF(INDEX($27:$27,11):INDEX($27:$27,200),"P"))</f>
        <v/>
      </c>
      <c r="G27" s="21" t="str">
        <f aca="false">IF($C27="","",COUNTIF(INDEX($27:$27,11):INDEX($27:$27,200),"L"))</f>
        <v/>
      </c>
      <c r="H27" s="21" t="str">
        <f aca="false">IF($C27="","",COUNTIF(INDEX($27:$27,11):INDEX($27:$27,200),"A"))</f>
        <v/>
      </c>
      <c r="I27" s="21" t="str">
        <f aca="false">IF($C27="","",N(F27)+N(G27)+N(H27))</f>
        <v/>
      </c>
      <c r="J27" s="22" t="str">
        <f aca="false">IF(N(I27)=0,"",IF(D27&lt;$H$2,"At Risk",IF(D27&gt;=$J$2,"Excellent","Good")))</f>
        <v/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customFormat="false" ht="19.5" hidden="false" customHeight="true" outlineLevel="0" collapsed="false">
      <c r="A28" s="9" t="str">
        <f aca="false">IF(C28="","",ROW()-5)</f>
        <v/>
      </c>
      <c r="B28" s="10"/>
      <c r="C28" s="11"/>
      <c r="D28" s="12" t="str">
        <f aca="false">IF(N(I28)=0,"",(F28+G28)/I28)</f>
        <v/>
      </c>
      <c r="E28" s="13" t="str">
        <f aca="false">IF(N(I28)=0,"",G28/I28)</f>
        <v/>
      </c>
      <c r="F28" s="14" t="str">
        <f aca="false">IF($C28="","",COUNTIF(INDEX($28:$28,11):INDEX($28:$28,200),"P"))</f>
        <v/>
      </c>
      <c r="G28" s="14" t="str">
        <f aca="false">IF($C28="","",COUNTIF(INDEX($28:$28,11):INDEX($28:$28,200),"L"))</f>
        <v/>
      </c>
      <c r="H28" s="14" t="str">
        <f aca="false">IF($C28="","",COUNTIF(INDEX($28:$28,11):INDEX($28:$28,200),"A"))</f>
        <v/>
      </c>
      <c r="I28" s="14" t="str">
        <f aca="false">IF($C28="","",N(F28)+N(G28)+N(H28))</f>
        <v/>
      </c>
      <c r="J28" s="15" t="str">
        <f aca="false">IF(N(I28)=0,"",IF(D28&lt;$H$2,"At Risk",IF(D28&gt;=$J$2,"Excellent","Good")))</f>
        <v/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customFormat="false" ht="19.5" hidden="false" customHeight="true" outlineLevel="0" collapsed="false">
      <c r="A29" s="16" t="str">
        <f aca="false">IF(C29="","",ROW()-5)</f>
        <v/>
      </c>
      <c r="B29" s="17"/>
      <c r="C29" s="18"/>
      <c r="D29" s="19" t="str">
        <f aca="false">IF(N(I29)=0,"",(F29+G29)/I29)</f>
        <v/>
      </c>
      <c r="E29" s="20" t="str">
        <f aca="false">IF(N(I29)=0,"",G29/I29)</f>
        <v/>
      </c>
      <c r="F29" s="21" t="str">
        <f aca="false">IF($C29="","",COUNTIF(INDEX($29:$29,11):INDEX($29:$29,200),"P"))</f>
        <v/>
      </c>
      <c r="G29" s="21" t="str">
        <f aca="false">IF($C29="","",COUNTIF(INDEX($29:$29,11):INDEX($29:$29,200),"L"))</f>
        <v/>
      </c>
      <c r="H29" s="21" t="str">
        <f aca="false">IF($C29="","",COUNTIF(INDEX($29:$29,11):INDEX($29:$29,200),"A"))</f>
        <v/>
      </c>
      <c r="I29" s="21" t="str">
        <f aca="false">IF($C29="","",N(F29)+N(G29)+N(H29))</f>
        <v/>
      </c>
      <c r="J29" s="22" t="str">
        <f aca="false">IF(N(I29)=0,"",IF(D29&lt;$H$2,"At Risk",IF(D29&gt;=$J$2,"Excellent","Good")))</f>
        <v/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customFormat="false" ht="19.5" hidden="false" customHeight="true" outlineLevel="0" collapsed="false">
      <c r="A30" s="9" t="str">
        <f aca="false">IF(C30="","",ROW()-5)</f>
        <v/>
      </c>
      <c r="B30" s="10"/>
      <c r="C30" s="11"/>
      <c r="D30" s="12" t="str">
        <f aca="false">IF(N(I30)=0,"",(F30+G30)/I30)</f>
        <v/>
      </c>
      <c r="E30" s="13" t="str">
        <f aca="false">IF(N(I30)=0,"",G30/I30)</f>
        <v/>
      </c>
      <c r="F30" s="14" t="str">
        <f aca="false">IF($C30="","",COUNTIF(INDEX($30:$30,11):INDEX($30:$30,200),"P"))</f>
        <v/>
      </c>
      <c r="G30" s="14" t="str">
        <f aca="false">IF($C30="","",COUNTIF(INDEX($30:$30,11):INDEX($30:$30,200),"L"))</f>
        <v/>
      </c>
      <c r="H30" s="14" t="str">
        <f aca="false">IF($C30="","",COUNTIF(INDEX($30:$30,11):INDEX($30:$30,200),"A"))</f>
        <v/>
      </c>
      <c r="I30" s="14" t="str">
        <f aca="false">IF($C30="","",N(F30)+N(G30)+N(H30))</f>
        <v/>
      </c>
      <c r="J30" s="15" t="str">
        <f aca="false">IF(N(I30)=0,"",IF(D30&lt;$H$2,"At Risk",IF(D30&gt;=$J$2,"Excellent","Good")))</f>
        <v/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2" customFormat="false" ht="15" hidden="false" customHeight="true" outlineLevel="0" collapsed="false">
      <c r="A32" s="23" t="s">
        <v>36</v>
      </c>
      <c r="B32" s="23"/>
      <c r="C32" s="23"/>
      <c r="D32" s="24"/>
      <c r="E32" s="24"/>
      <c r="F32" s="24"/>
      <c r="G32" s="24"/>
      <c r="H32" s="24"/>
      <c r="I32" s="24"/>
      <c r="J32" s="24"/>
      <c r="K32" s="25" t="str">
        <f aca="false">IF(COUNTA(K6:K30)=0,"",COUNTIF(K6:K30,"P"))</f>
        <v/>
      </c>
      <c r="L32" s="25" t="str">
        <f aca="false">IF(COUNTA(L6:L30)=0,"",COUNTIF(L6:L30,"P"))</f>
        <v/>
      </c>
      <c r="M32" s="25" t="str">
        <f aca="false">IF(COUNTA(M6:M30)=0,"",COUNTIF(M6:M30,"P"))</f>
        <v/>
      </c>
      <c r="N32" s="25" t="str">
        <f aca="false">IF(COUNTA(N6:N30)=0,"",COUNTIF(N6:N30,"P"))</f>
        <v/>
      </c>
      <c r="O32" s="25" t="str">
        <f aca="false">IF(COUNTA(O6:O30)=0,"",COUNTIF(O6:O30,"P"))</f>
        <v/>
      </c>
      <c r="P32" s="25" t="str">
        <f aca="false">IF(COUNTA(P6:P30)=0,"",COUNTIF(P6:P30,"P"))</f>
        <v/>
      </c>
      <c r="Q32" s="25" t="str">
        <f aca="false">IF(COUNTA(Q6:Q30)=0,"",COUNTIF(Q6:Q30,"P"))</f>
        <v/>
      </c>
      <c r="R32" s="25" t="str">
        <f aca="false">IF(COUNTA(R6:R30)=0,"",COUNTIF(R6:R30,"P"))</f>
        <v/>
      </c>
      <c r="S32" s="25" t="str">
        <f aca="false">IF(COUNTA(S6:S30)=0,"",COUNTIF(S6:S30,"P"))</f>
        <v/>
      </c>
      <c r="T32" s="25" t="str">
        <f aca="false">IF(COUNTA(T6:T30)=0,"",COUNTIF(T6:T30,"P"))</f>
        <v/>
      </c>
      <c r="U32" s="25" t="str">
        <f aca="false">IF(COUNTA(U6:U30)=0,"",COUNTIF(U6:U30,"P"))</f>
        <v/>
      </c>
      <c r="V32" s="25" t="str">
        <f aca="false">IF(COUNTA(V6:V30)=0,"",COUNTIF(V6:V30,"P"))</f>
        <v/>
      </c>
      <c r="W32" s="25" t="str">
        <f aca="false">IF(COUNTA(W6:W30)=0,"",COUNTIF(W6:W30,"P"))</f>
        <v/>
      </c>
      <c r="X32" s="25" t="str">
        <f aca="false">IF(COUNTA(X6:X30)=0,"",COUNTIF(X6:X30,"P"))</f>
        <v/>
      </c>
      <c r="Y32" s="25" t="str">
        <f aca="false">IF(COUNTA(Y6:Y30)=0,"",COUNTIF(Y6:Y30,"P"))</f>
        <v/>
      </c>
      <c r="Z32" s="25" t="str">
        <f aca="false">IF(COUNTA(Z6:Z30)=0,"",COUNTIF(Z6:Z30,"P"))</f>
        <v/>
      </c>
      <c r="AA32" s="25" t="str">
        <f aca="false">IF(COUNTA(AA6:AA30)=0,"",COUNTIF(AA6:AA30,"P"))</f>
        <v/>
      </c>
      <c r="AB32" s="25" t="str">
        <f aca="false">IF(COUNTA(AB6:AB30)=0,"",COUNTIF(AB6:AB30,"P"))</f>
        <v/>
      </c>
      <c r="AC32" s="25" t="str">
        <f aca="false">IF(COUNTA(AC6:AC30)=0,"",COUNTIF(AC6:AC30,"P"))</f>
        <v/>
      </c>
      <c r="AD32" s="25" t="str">
        <f aca="false">IF(COUNTA(AD6:AD30)=0,"",COUNTIF(AD6:AD30,"P"))</f>
        <v/>
      </c>
      <c r="AE32" s="25" t="str">
        <f aca="false">IF(COUNTA(AE6:AE30)=0,"",COUNTIF(AE6:AE30,"P"))</f>
        <v/>
      </c>
      <c r="AF32" s="25" t="str">
        <f aca="false">IF(COUNTA(AF6:AF30)=0,"",COUNTIF(AF6:AF30,"P"))</f>
        <v/>
      </c>
      <c r="AG32" s="25" t="str">
        <f aca="false">IF(COUNTA(AG6:AG30)=0,"",COUNTIF(AG6:AG30,"P"))</f>
        <v/>
      </c>
      <c r="AH32" s="25" t="str">
        <f aca="false">IF(COUNTA(AH6:AH30)=0,"",COUNTIF(AH6:AH30,"P"))</f>
        <v/>
      </c>
      <c r="AI32" s="25" t="str">
        <f aca="false">IF(COUNTA(AI6:AI30)=0,"",COUNTIF(AI6:AI30,"P"))</f>
        <v/>
      </c>
      <c r="AJ32" s="25" t="str">
        <f aca="false">IF(COUNTA(AJ6:AJ30)=0,"",COUNTIF(AJ6:AJ30,"P"))</f>
        <v/>
      </c>
      <c r="AK32" s="25" t="str">
        <f aca="false">IF(COUNTA(AK6:AK30)=0,"",COUNTIF(AK6:AK30,"P"))</f>
        <v/>
      </c>
      <c r="AL32" s="25" t="str">
        <f aca="false">IF(COUNTA(AL6:AL30)=0,"",COUNTIF(AL6:AL30,"P"))</f>
        <v/>
      </c>
      <c r="AM32" s="25" t="str">
        <f aca="false">IF(COUNTA(AM6:AM30)=0,"",COUNTIF(AM6:AM30,"P"))</f>
        <v/>
      </c>
      <c r="AN32" s="25" t="str">
        <f aca="false">IF(COUNTA(AN6:AN30)=0,"",COUNTIF(AN6:AN30,"P"))</f>
        <v/>
      </c>
    </row>
    <row r="33" customFormat="false" ht="15" hidden="false" customHeight="true" outlineLevel="0" collapsed="false">
      <c r="A33" s="23" t="s">
        <v>37</v>
      </c>
      <c r="B33" s="23"/>
      <c r="C33" s="23"/>
      <c r="D33" s="24"/>
      <c r="E33" s="24"/>
      <c r="F33" s="24"/>
      <c r="G33" s="24"/>
      <c r="H33" s="24"/>
      <c r="I33" s="24"/>
      <c r="J33" s="24"/>
      <c r="K33" s="25" t="str">
        <f aca="false">IF(COUNTA(K6:K30)=0,"",COUNTIF(K6:K30,"L"))</f>
        <v/>
      </c>
      <c r="L33" s="25" t="str">
        <f aca="false">IF(COUNTA(L6:L30)=0,"",COUNTIF(L6:L30,"L"))</f>
        <v/>
      </c>
      <c r="M33" s="25" t="str">
        <f aca="false">IF(COUNTA(M6:M30)=0,"",COUNTIF(M6:M30,"L"))</f>
        <v/>
      </c>
      <c r="N33" s="25" t="str">
        <f aca="false">IF(COUNTA(N6:N30)=0,"",COUNTIF(N6:N30,"L"))</f>
        <v/>
      </c>
      <c r="O33" s="25" t="str">
        <f aca="false">IF(COUNTA(O6:O30)=0,"",COUNTIF(O6:O30,"L"))</f>
        <v/>
      </c>
      <c r="P33" s="25" t="str">
        <f aca="false">IF(COUNTA(P6:P30)=0,"",COUNTIF(P6:P30,"L"))</f>
        <v/>
      </c>
      <c r="Q33" s="25" t="str">
        <f aca="false">IF(COUNTA(Q6:Q30)=0,"",COUNTIF(Q6:Q30,"L"))</f>
        <v/>
      </c>
      <c r="R33" s="25" t="str">
        <f aca="false">IF(COUNTA(R6:R30)=0,"",COUNTIF(R6:R30,"L"))</f>
        <v/>
      </c>
      <c r="S33" s="25" t="str">
        <f aca="false">IF(COUNTA(S6:S30)=0,"",COUNTIF(S6:S30,"L"))</f>
        <v/>
      </c>
      <c r="T33" s="25" t="str">
        <f aca="false">IF(COUNTA(T6:T30)=0,"",COUNTIF(T6:T30,"L"))</f>
        <v/>
      </c>
      <c r="U33" s="25" t="str">
        <f aca="false">IF(COUNTA(U6:U30)=0,"",COUNTIF(U6:U30,"L"))</f>
        <v/>
      </c>
      <c r="V33" s="25" t="str">
        <f aca="false">IF(COUNTA(V6:V30)=0,"",COUNTIF(V6:V30,"L"))</f>
        <v/>
      </c>
      <c r="W33" s="25" t="str">
        <f aca="false">IF(COUNTA(W6:W30)=0,"",COUNTIF(W6:W30,"L"))</f>
        <v/>
      </c>
      <c r="X33" s="25" t="str">
        <f aca="false">IF(COUNTA(X6:X30)=0,"",COUNTIF(X6:X30,"L"))</f>
        <v/>
      </c>
      <c r="Y33" s="25" t="str">
        <f aca="false">IF(COUNTA(Y6:Y30)=0,"",COUNTIF(Y6:Y30,"L"))</f>
        <v/>
      </c>
      <c r="Z33" s="25" t="str">
        <f aca="false">IF(COUNTA(Z6:Z30)=0,"",COUNTIF(Z6:Z30,"L"))</f>
        <v/>
      </c>
      <c r="AA33" s="25" t="str">
        <f aca="false">IF(COUNTA(AA6:AA30)=0,"",COUNTIF(AA6:AA30,"L"))</f>
        <v/>
      </c>
      <c r="AB33" s="25" t="str">
        <f aca="false">IF(COUNTA(AB6:AB30)=0,"",COUNTIF(AB6:AB30,"L"))</f>
        <v/>
      </c>
      <c r="AC33" s="25" t="str">
        <f aca="false">IF(COUNTA(AC6:AC30)=0,"",COUNTIF(AC6:AC30,"L"))</f>
        <v/>
      </c>
      <c r="AD33" s="25" t="str">
        <f aca="false">IF(COUNTA(AD6:AD30)=0,"",COUNTIF(AD6:AD30,"L"))</f>
        <v/>
      </c>
      <c r="AE33" s="25" t="str">
        <f aca="false">IF(COUNTA(AE6:AE30)=0,"",COUNTIF(AE6:AE30,"L"))</f>
        <v/>
      </c>
      <c r="AF33" s="25" t="str">
        <f aca="false">IF(COUNTA(AF6:AF30)=0,"",COUNTIF(AF6:AF30,"L"))</f>
        <v/>
      </c>
      <c r="AG33" s="25" t="str">
        <f aca="false">IF(COUNTA(AG6:AG30)=0,"",COUNTIF(AG6:AG30,"L"))</f>
        <v/>
      </c>
      <c r="AH33" s="25" t="str">
        <f aca="false">IF(COUNTA(AH6:AH30)=0,"",COUNTIF(AH6:AH30,"L"))</f>
        <v/>
      </c>
      <c r="AI33" s="25" t="str">
        <f aca="false">IF(COUNTA(AI6:AI30)=0,"",COUNTIF(AI6:AI30,"L"))</f>
        <v/>
      </c>
      <c r="AJ33" s="25" t="str">
        <f aca="false">IF(COUNTA(AJ6:AJ30)=0,"",COUNTIF(AJ6:AJ30,"L"))</f>
        <v/>
      </c>
      <c r="AK33" s="25" t="str">
        <f aca="false">IF(COUNTA(AK6:AK30)=0,"",COUNTIF(AK6:AK30,"L"))</f>
        <v/>
      </c>
      <c r="AL33" s="25" t="str">
        <f aca="false">IF(COUNTA(AL6:AL30)=0,"",COUNTIF(AL6:AL30,"L"))</f>
        <v/>
      </c>
      <c r="AM33" s="25" t="str">
        <f aca="false">IF(COUNTA(AM6:AM30)=0,"",COUNTIF(AM6:AM30,"L"))</f>
        <v/>
      </c>
      <c r="AN33" s="25" t="str">
        <f aca="false">IF(COUNTA(AN6:AN30)=0,"",COUNTIF(AN6:AN30,"L"))</f>
        <v/>
      </c>
    </row>
    <row r="34" customFormat="false" ht="15" hidden="false" customHeight="true" outlineLevel="0" collapsed="false">
      <c r="A34" s="23" t="s">
        <v>38</v>
      </c>
      <c r="B34" s="23"/>
      <c r="C34" s="23"/>
      <c r="D34" s="24"/>
      <c r="E34" s="24"/>
      <c r="F34" s="24"/>
      <c r="G34" s="24"/>
      <c r="H34" s="24"/>
      <c r="I34" s="24"/>
      <c r="J34" s="24"/>
      <c r="K34" s="25" t="str">
        <f aca="false">IF(COUNTA(K6:K30)=0,"",COUNTIF(K6:K30,"A"))</f>
        <v/>
      </c>
      <c r="L34" s="25" t="str">
        <f aca="false">IF(COUNTA(L6:L30)=0,"",COUNTIF(L6:L30,"A"))</f>
        <v/>
      </c>
      <c r="M34" s="25" t="str">
        <f aca="false">IF(COUNTA(M6:M30)=0,"",COUNTIF(M6:M30,"A"))</f>
        <v/>
      </c>
      <c r="N34" s="25" t="str">
        <f aca="false">IF(COUNTA(N6:N30)=0,"",COUNTIF(N6:N30,"A"))</f>
        <v/>
      </c>
      <c r="O34" s="25" t="str">
        <f aca="false">IF(COUNTA(O6:O30)=0,"",COUNTIF(O6:O30,"A"))</f>
        <v/>
      </c>
      <c r="P34" s="25" t="str">
        <f aca="false">IF(COUNTA(P6:P30)=0,"",COUNTIF(P6:P30,"A"))</f>
        <v/>
      </c>
      <c r="Q34" s="25" t="str">
        <f aca="false">IF(COUNTA(Q6:Q30)=0,"",COUNTIF(Q6:Q30,"A"))</f>
        <v/>
      </c>
      <c r="R34" s="25" t="str">
        <f aca="false">IF(COUNTA(R6:R30)=0,"",COUNTIF(R6:R30,"A"))</f>
        <v/>
      </c>
      <c r="S34" s="25" t="str">
        <f aca="false">IF(COUNTA(S6:S30)=0,"",COUNTIF(S6:S30,"A"))</f>
        <v/>
      </c>
      <c r="T34" s="25" t="str">
        <f aca="false">IF(COUNTA(T6:T30)=0,"",COUNTIF(T6:T30,"A"))</f>
        <v/>
      </c>
      <c r="U34" s="25" t="str">
        <f aca="false">IF(COUNTA(U6:U30)=0,"",COUNTIF(U6:U30,"A"))</f>
        <v/>
      </c>
      <c r="V34" s="25" t="str">
        <f aca="false">IF(COUNTA(V6:V30)=0,"",COUNTIF(V6:V30,"A"))</f>
        <v/>
      </c>
      <c r="W34" s="25" t="str">
        <f aca="false">IF(COUNTA(W6:W30)=0,"",COUNTIF(W6:W30,"A"))</f>
        <v/>
      </c>
      <c r="X34" s="25" t="str">
        <f aca="false">IF(COUNTA(X6:X30)=0,"",COUNTIF(X6:X30,"A"))</f>
        <v/>
      </c>
      <c r="Y34" s="25" t="str">
        <f aca="false">IF(COUNTA(Y6:Y30)=0,"",COUNTIF(Y6:Y30,"A"))</f>
        <v/>
      </c>
      <c r="Z34" s="25" t="str">
        <f aca="false">IF(COUNTA(Z6:Z30)=0,"",COUNTIF(Z6:Z30,"A"))</f>
        <v/>
      </c>
      <c r="AA34" s="25" t="str">
        <f aca="false">IF(COUNTA(AA6:AA30)=0,"",COUNTIF(AA6:AA30,"A"))</f>
        <v/>
      </c>
      <c r="AB34" s="25" t="str">
        <f aca="false">IF(COUNTA(AB6:AB30)=0,"",COUNTIF(AB6:AB30,"A"))</f>
        <v/>
      </c>
      <c r="AC34" s="25" t="str">
        <f aca="false">IF(COUNTA(AC6:AC30)=0,"",COUNTIF(AC6:AC30,"A"))</f>
        <v/>
      </c>
      <c r="AD34" s="25" t="str">
        <f aca="false">IF(COUNTA(AD6:AD30)=0,"",COUNTIF(AD6:AD30,"A"))</f>
        <v/>
      </c>
      <c r="AE34" s="25" t="str">
        <f aca="false">IF(COUNTA(AE6:AE30)=0,"",COUNTIF(AE6:AE30,"A"))</f>
        <v/>
      </c>
      <c r="AF34" s="25" t="str">
        <f aca="false">IF(COUNTA(AF6:AF30)=0,"",COUNTIF(AF6:AF30,"A"))</f>
        <v/>
      </c>
      <c r="AG34" s="25" t="str">
        <f aca="false">IF(COUNTA(AG6:AG30)=0,"",COUNTIF(AG6:AG30,"A"))</f>
        <v/>
      </c>
      <c r="AH34" s="25" t="str">
        <f aca="false">IF(COUNTA(AH6:AH30)=0,"",COUNTIF(AH6:AH30,"A"))</f>
        <v/>
      </c>
      <c r="AI34" s="25" t="str">
        <f aca="false">IF(COUNTA(AI6:AI30)=0,"",COUNTIF(AI6:AI30,"A"))</f>
        <v/>
      </c>
      <c r="AJ34" s="25" t="str">
        <f aca="false">IF(COUNTA(AJ6:AJ30)=0,"",COUNTIF(AJ6:AJ30,"A"))</f>
        <v/>
      </c>
      <c r="AK34" s="25" t="str">
        <f aca="false">IF(COUNTA(AK6:AK30)=0,"",COUNTIF(AK6:AK30,"A"))</f>
        <v/>
      </c>
      <c r="AL34" s="25" t="str">
        <f aca="false">IF(COUNTA(AL6:AL30)=0,"",COUNTIF(AL6:AL30,"A"))</f>
        <v/>
      </c>
      <c r="AM34" s="25" t="str">
        <f aca="false">IF(COUNTA(AM6:AM30)=0,"",COUNTIF(AM6:AM30,"A"))</f>
        <v/>
      </c>
      <c r="AN34" s="25" t="str">
        <f aca="false">IF(COUNTA(AN6:AN30)=0,"",COUNTIF(AN6:AN30,"A"))</f>
        <v/>
      </c>
    </row>
    <row r="35" customFormat="false" ht="15" hidden="false" customHeight="true" outlineLevel="0" collapsed="false">
      <c r="A35" s="26" t="s">
        <v>39</v>
      </c>
      <c r="B35" s="26"/>
      <c r="C35" s="26"/>
      <c r="D35" s="27"/>
      <c r="E35" s="27"/>
      <c r="F35" s="27"/>
      <c r="G35" s="27"/>
      <c r="H35" s="27"/>
      <c r="I35" s="27"/>
      <c r="J35" s="27"/>
      <c r="K35" s="28" t="str">
        <f aca="false">IF(N(K32)+N(K33)+N(K34)=0,"",(N(K32)+N(K33))/(N(K32)+N(K33)+N(K34)))</f>
        <v/>
      </c>
      <c r="L35" s="28" t="str">
        <f aca="false">IF(N(L32)+N(L33)+N(L34)=0,"",(N(L32)+N(L33))/(N(L32)+N(L33)+N(L34)))</f>
        <v/>
      </c>
      <c r="M35" s="28" t="str">
        <f aca="false">IF(N(M32)+N(M33)+N(M34)=0,"",(N(M32)+N(M33))/(N(M32)+N(M33)+N(M34)))</f>
        <v/>
      </c>
      <c r="N35" s="28" t="str">
        <f aca="false">IF(N(N32)+N(N33)+N(N34)=0,"",(N(N32)+N(N33))/(N(N32)+N(N33)+N(N34)))</f>
        <v/>
      </c>
      <c r="O35" s="28" t="str">
        <f aca="false">IF(N(O32)+N(O33)+N(O34)=0,"",(N(O32)+N(O33))/(N(O32)+N(O33)+N(O34)))</f>
        <v/>
      </c>
      <c r="P35" s="28" t="str">
        <f aca="false">IF(N(P32)+N(P33)+N(P34)=0,"",(N(P32)+N(P33))/(N(P32)+N(P33)+N(P34)))</f>
        <v/>
      </c>
      <c r="Q35" s="28" t="str">
        <f aca="false">IF(N(Q32)+N(Q33)+N(Q34)=0,"",(N(Q32)+N(Q33))/(N(Q32)+N(Q33)+N(Q34)))</f>
        <v/>
      </c>
      <c r="R35" s="28" t="str">
        <f aca="false">IF(N(R32)+N(R33)+N(R34)=0,"",(N(R32)+N(R33))/(N(R32)+N(R33)+N(R34)))</f>
        <v/>
      </c>
      <c r="S35" s="28" t="str">
        <f aca="false">IF(N(S32)+N(S33)+N(S34)=0,"",(N(S32)+N(S33))/(N(S32)+N(S33)+N(S34)))</f>
        <v/>
      </c>
      <c r="T35" s="28" t="str">
        <f aca="false">IF(N(T32)+N(T33)+N(T34)=0,"",(N(T32)+N(T33))/(N(T32)+N(T33)+N(T34)))</f>
        <v/>
      </c>
      <c r="U35" s="28" t="str">
        <f aca="false">IF(N(U32)+N(U33)+N(U34)=0,"",(N(U32)+N(U33))/(N(U32)+N(U33)+N(U34)))</f>
        <v/>
      </c>
      <c r="V35" s="28" t="str">
        <f aca="false">IF(N(V32)+N(V33)+N(V34)=0,"",(N(V32)+N(V33))/(N(V32)+N(V33)+N(V34)))</f>
        <v/>
      </c>
      <c r="W35" s="28" t="str">
        <f aca="false">IF(N(W32)+N(W33)+N(W34)=0,"",(N(W32)+N(W33))/(N(W32)+N(W33)+N(W34)))</f>
        <v/>
      </c>
      <c r="X35" s="28" t="str">
        <f aca="false">IF(N(X32)+N(X33)+N(X34)=0,"",(N(X32)+N(X33))/(N(X32)+N(X33)+N(X34)))</f>
        <v/>
      </c>
      <c r="Y35" s="28" t="str">
        <f aca="false">IF(N(Y32)+N(Y33)+N(Y34)=0,"",(N(Y32)+N(Y33))/(N(Y32)+N(Y33)+N(Y34)))</f>
        <v/>
      </c>
      <c r="Z35" s="28" t="str">
        <f aca="false">IF(N(Z32)+N(Z33)+N(Z34)=0,"",(N(Z32)+N(Z33))/(N(Z32)+N(Z33)+N(Z34)))</f>
        <v/>
      </c>
      <c r="AA35" s="28" t="str">
        <f aca="false">IF(N(AA32)+N(AA33)+N(AA34)=0,"",(N(AA32)+N(AA33))/(N(AA32)+N(AA33)+N(AA34)))</f>
        <v/>
      </c>
      <c r="AB35" s="28" t="str">
        <f aca="false">IF(N(AB32)+N(AB33)+N(AB34)=0,"",(N(AB32)+N(AB33))/(N(AB32)+N(AB33)+N(AB34)))</f>
        <v/>
      </c>
      <c r="AC35" s="28" t="str">
        <f aca="false">IF(N(AC32)+N(AC33)+N(AC34)=0,"",(N(AC32)+N(AC33))/(N(AC32)+N(AC33)+N(AC34)))</f>
        <v/>
      </c>
      <c r="AD35" s="28" t="str">
        <f aca="false">IF(N(AD32)+N(AD33)+N(AD34)=0,"",(N(AD32)+N(AD33))/(N(AD32)+N(AD33)+N(AD34)))</f>
        <v/>
      </c>
      <c r="AE35" s="28" t="str">
        <f aca="false">IF(N(AE32)+N(AE33)+N(AE34)=0,"",(N(AE32)+N(AE33))/(N(AE32)+N(AE33)+N(AE34)))</f>
        <v/>
      </c>
      <c r="AF35" s="28" t="str">
        <f aca="false">IF(N(AF32)+N(AF33)+N(AF34)=0,"",(N(AF32)+N(AF33))/(N(AF32)+N(AF33)+N(AF34)))</f>
        <v/>
      </c>
      <c r="AG35" s="28" t="str">
        <f aca="false">IF(N(AG32)+N(AG33)+N(AG34)=0,"",(N(AG32)+N(AG33))/(N(AG32)+N(AG33)+N(AG34)))</f>
        <v/>
      </c>
      <c r="AH35" s="28" t="str">
        <f aca="false">IF(N(AH32)+N(AH33)+N(AH34)=0,"",(N(AH32)+N(AH33))/(N(AH32)+N(AH33)+N(AH34)))</f>
        <v/>
      </c>
      <c r="AI35" s="28" t="str">
        <f aca="false">IF(N(AI32)+N(AI33)+N(AI34)=0,"",(N(AI32)+N(AI33))/(N(AI32)+N(AI33)+N(AI34)))</f>
        <v/>
      </c>
      <c r="AJ35" s="28" t="str">
        <f aca="false">IF(N(AJ32)+N(AJ33)+N(AJ34)=0,"",(N(AJ32)+N(AJ33))/(N(AJ32)+N(AJ33)+N(AJ34)))</f>
        <v/>
      </c>
      <c r="AK35" s="28" t="str">
        <f aca="false">IF(N(AK32)+N(AK33)+N(AK34)=0,"",(N(AK32)+N(AK33))/(N(AK32)+N(AK33)+N(AK34)))</f>
        <v/>
      </c>
      <c r="AL35" s="28" t="str">
        <f aca="false">IF(N(AL32)+N(AL33)+N(AL34)=0,"",(N(AL32)+N(AL33))/(N(AL32)+N(AL33)+N(AL34)))</f>
        <v/>
      </c>
      <c r="AM35" s="28" t="str">
        <f aca="false">IF(N(AM32)+N(AM33)+N(AM34)=0,"",(N(AM32)+N(AM33))/(N(AM32)+N(AM33)+N(AM34)))</f>
        <v/>
      </c>
      <c r="AN35" s="28" t="str">
        <f aca="false">IF(N(AN32)+N(AN33)+N(AN34)=0,"",(N(AN32)+N(AN33))/(N(AN32)+N(AN33)+N(AN34)))</f>
        <v/>
      </c>
    </row>
    <row r="37" customFormat="false" ht="15" hidden="false" customHeight="false" outlineLevel="0" collapsed="false">
      <c r="A37" s="29" t="s">
        <v>40</v>
      </c>
    </row>
    <row r="38" customFormat="false" ht="15" hidden="false" customHeight="false" outlineLevel="0" collapsed="false">
      <c r="A38" s="29" t="s">
        <v>41</v>
      </c>
    </row>
    <row r="39" customFormat="false" ht="15" hidden="false" customHeight="false" outlineLevel="0" collapsed="false">
      <c r="A39" s="29" t="s">
        <v>42</v>
      </c>
    </row>
    <row r="40" customFormat="false" ht="15" hidden="false" customHeight="false" outlineLevel="0" collapsed="false">
      <c r="A40" s="29" t="s">
        <v>43</v>
      </c>
    </row>
  </sheetData>
  <mergeCells count="18">
    <mergeCell ref="A2:B2"/>
    <mergeCell ref="C2:D2"/>
    <mergeCell ref="F2:G2"/>
    <mergeCell ref="A3:J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32:C32"/>
    <mergeCell ref="A33:C33"/>
    <mergeCell ref="A34:C34"/>
    <mergeCell ref="A35:C35"/>
  </mergeCells>
  <conditionalFormatting sqref="K6:AN30">
    <cfRule type="cellIs" priority="2" operator="equal" aboveAverage="0" equalAverage="0" bottom="0" percent="0" rank="0" text="" dxfId="0">
      <formula>"P"</formula>
    </cfRule>
    <cfRule type="cellIs" priority="3" operator="equal" aboveAverage="0" equalAverage="0" bottom="0" percent="0" rank="0" text="" dxfId="1">
      <formula>"L"</formula>
    </cfRule>
    <cfRule type="cellIs" priority="4" operator="equal" aboveAverage="0" equalAverage="0" bottom="0" percent="0" rank="0" text="" dxfId="2">
      <formula>"A"</formula>
    </cfRule>
    <cfRule type="cellIs" priority="5" operator="equal" aboveAverage="0" equalAverage="0" bottom="0" percent="0" rank="0" text="" dxfId="3">
      <formula>"H"</formula>
    </cfRule>
  </conditionalFormatting>
  <conditionalFormatting sqref="D6:D30">
    <cfRule type="expression" priority="6" aboveAverage="0" equalAverage="0" bottom="0" percent="0" rank="0" text="" dxfId="4">
      <formula>AND(ISNUMBER(D6),D6&lt;$H$2)</formula>
    </cfRule>
    <cfRule type="expression" priority="7" aboveAverage="0" equalAverage="0" bottom="0" percent="0" rank="0" text="" dxfId="5">
      <formula>AND(ISNUMBER(D6),D6&gt;=$J$2)</formula>
    </cfRule>
    <cfRule type="expression" priority="8" aboveAverage="0" equalAverage="0" bottom="0" percent="0" rank="0" text="" dxfId="6">
      <formula>AND(ISNUMBER(D6),D6&gt;=$H$2,D6&lt;$J$2)</formula>
    </cfRule>
  </conditionalFormatting>
  <conditionalFormatting sqref="J6:J30">
    <cfRule type="cellIs" priority="9" operator="equal" aboveAverage="0" equalAverage="0" bottom="0" percent="0" rank="0" text="" dxfId="4">
      <formula>"At Risk"</formula>
    </cfRule>
    <cfRule type="cellIs" priority="10" operator="equal" aboveAverage="0" equalAverage="0" bottom="0" percent="0" rank="0" text="" dxfId="6">
      <formula>"Good"</formula>
    </cfRule>
    <cfRule type="cellIs" priority="11" operator="equal" aboveAverage="0" equalAverage="0" bottom="0" percent="0" rank="0" text="" dxfId="5">
      <formula>"Excellent"</formula>
    </cfRule>
  </conditionalFormatting>
  <conditionalFormatting sqref="E6:E30">
    <cfRule type="expression" priority="12" aboveAverage="0" equalAverage="0" bottom="0" percent="0" rank="0" text="" dxfId="7">
      <formula>AND(ISNUMBER(E6),E6&gt;0.25)</formula>
    </cfRule>
  </conditionalFormatting>
  <dataValidations count="1">
    <dataValidation allowBlank="true" error="Use P, L, A or H." errorStyle="stop" errorTitle="Invalid" operator="between" showDropDown="false" showErrorMessage="false" showInputMessage="false" sqref="K6:AN30" type="list">
      <formula1>"P,L,A,H"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3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44</v>
      </c>
    </row>
    <row r="2" customFormat="false" ht="15" hidden="false" customHeight="false" outlineLevel="0" collapsed="false">
      <c r="A2" s="29" t="s">
        <v>45</v>
      </c>
    </row>
    <row r="4" customFormat="false" ht="25.5" hidden="false" customHeight="true" outlineLevel="0" collapsed="false">
      <c r="A4" s="2" t="s">
        <v>7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</row>
    <row r="5" customFormat="false" ht="15" hidden="false" customHeight="false" outlineLevel="0" collapsed="false">
      <c r="A5" s="30" t="s">
        <v>16</v>
      </c>
      <c r="B5" s="14" t="n">
        <f aca="false">IF(A5="","",COUNTIFS(Attendance!$B$6:$B$30,A5,Attendance!$C$6:$C$30,"&lt;&gt;"))</f>
        <v>2</v>
      </c>
      <c r="C5" s="12" t="str">
        <f aca="false">IF(A5="","",IFERROR(AVERAGEIF(Attendance!$B$6:$B$30,A5,Attendance!$D$6:$D$30),""))</f>
        <v/>
      </c>
      <c r="D5" s="13" t="str">
        <f aca="false">IF(A5="","",IFERROR(AVERAGEIF(Attendance!$B$6:$B$30,A5,Attendance!$E$6:$E$30),""))</f>
        <v/>
      </c>
      <c r="E5" s="14" t="n">
        <f aca="false">IF(A5="","",COUNTIFS(Attendance!$B$6:$B$30,A5,Attendance!$J$6:$J$30,"At Risk"))</f>
        <v>0</v>
      </c>
      <c r="F5" s="14" t="n">
        <f aca="false">IF(A5="","",COUNTIFS(Attendance!$B$6:$B$30,A5,Attendance!$J$6:$J$30,"Excellent"))</f>
        <v>0</v>
      </c>
    </row>
    <row r="6" customFormat="false" ht="15" hidden="false" customHeight="false" outlineLevel="0" collapsed="false">
      <c r="A6" s="30" t="s">
        <v>18</v>
      </c>
      <c r="B6" s="21" t="n">
        <f aca="false">IF(A6="","",COUNTIFS(Attendance!$B$6:$B$30,A6,Attendance!$C$6:$C$30,"&lt;&gt;"))</f>
        <v>6</v>
      </c>
      <c r="C6" s="19" t="str">
        <f aca="false">IF(A6="","",IFERROR(AVERAGEIF(Attendance!$B$6:$B$30,A6,Attendance!$D$6:$D$30),""))</f>
        <v/>
      </c>
      <c r="D6" s="20" t="str">
        <f aca="false">IF(A6="","",IFERROR(AVERAGEIF(Attendance!$B$6:$B$30,A6,Attendance!$E$6:$E$30),""))</f>
        <v/>
      </c>
      <c r="E6" s="21" t="n">
        <f aca="false">IF(A6="","",COUNTIFS(Attendance!$B$6:$B$30,A6,Attendance!$J$6:$J$30,"At Risk"))</f>
        <v>0</v>
      </c>
      <c r="F6" s="21" t="n">
        <f aca="false">IF(A6="","",COUNTIFS(Attendance!$B$6:$B$30,A6,Attendance!$J$6:$J$30,"Excellent"))</f>
        <v>0</v>
      </c>
    </row>
    <row r="7" customFormat="false" ht="15" hidden="false" customHeight="false" outlineLevel="0" collapsed="false">
      <c r="A7" s="30" t="s">
        <v>20</v>
      </c>
      <c r="B7" s="14" t="n">
        <f aca="false">IF(A7="","",COUNTIFS(Attendance!$B$6:$B$30,A7,Attendance!$C$6:$C$30,"&lt;&gt;"))</f>
        <v>7</v>
      </c>
      <c r="C7" s="12" t="str">
        <f aca="false">IF(A7="","",IFERROR(AVERAGEIF(Attendance!$B$6:$B$30,A7,Attendance!$D$6:$D$30),""))</f>
        <v/>
      </c>
      <c r="D7" s="13" t="str">
        <f aca="false">IF(A7="","",IFERROR(AVERAGEIF(Attendance!$B$6:$B$30,A7,Attendance!$E$6:$E$30),""))</f>
        <v/>
      </c>
      <c r="E7" s="14" t="n">
        <f aca="false">IF(A7="","",COUNTIFS(Attendance!$B$6:$B$30,A7,Attendance!$J$6:$J$30,"At Risk"))</f>
        <v>0</v>
      </c>
      <c r="F7" s="14" t="n">
        <f aca="false">IF(A7="","",COUNTIFS(Attendance!$B$6:$B$30,A7,Attendance!$J$6:$J$30,"Excellent"))</f>
        <v>0</v>
      </c>
    </row>
    <row r="8" customFormat="false" ht="15" hidden="false" customHeight="false" outlineLevel="0" collapsed="false">
      <c r="A8" s="30" t="s">
        <v>33</v>
      </c>
      <c r="B8" s="21" t="n">
        <f aca="false">IF(A8="","",COUNTIFS(Attendance!$B$6:$B$30,A8,Attendance!$C$6:$C$30,"&lt;&gt;"))</f>
        <v>1</v>
      </c>
      <c r="C8" s="19" t="str">
        <f aca="false">IF(A8="","",IFERROR(AVERAGEIF(Attendance!$B$6:$B$30,A8,Attendance!$D$6:$D$30),""))</f>
        <v/>
      </c>
      <c r="D8" s="20" t="str">
        <f aca="false">IF(A8="","",IFERROR(AVERAGEIF(Attendance!$B$6:$B$30,A8,Attendance!$E$6:$E$30),""))</f>
        <v/>
      </c>
      <c r="E8" s="21" t="n">
        <f aca="false">IF(A8="","",COUNTIFS(Attendance!$B$6:$B$30,A8,Attendance!$J$6:$J$30,"At Risk"))</f>
        <v>0</v>
      </c>
      <c r="F8" s="21" t="n">
        <f aca="false">IF(A8="","",COUNTIFS(Attendance!$B$6:$B$30,A8,Attendance!$J$6:$J$30,"Excellent"))</f>
        <v>0</v>
      </c>
    </row>
    <row r="9" customFormat="false" ht="15" hidden="false" customHeight="false" outlineLevel="0" collapsed="false">
      <c r="A9" s="30"/>
      <c r="B9" s="14" t="str">
        <f aca="false">IF(A9="","",COUNTIFS(Attendance!$B$6:$B$30,A9,Attendance!$C$6:$C$30,"&lt;&gt;"))</f>
        <v/>
      </c>
      <c r="C9" s="12" t="str">
        <f aca="false">IF(A9="","",IFERROR(AVERAGEIF(Attendance!$B$6:$B$30,A9,Attendance!$D$6:$D$30),""))</f>
        <v/>
      </c>
      <c r="D9" s="13" t="str">
        <f aca="false">IF(A9="","",IFERROR(AVERAGEIF(Attendance!$B$6:$B$30,A9,Attendance!$E$6:$E$30),""))</f>
        <v/>
      </c>
      <c r="E9" s="14" t="str">
        <f aca="false">IF(A9="","",COUNTIFS(Attendance!$B$6:$B$30,A9,Attendance!$J$6:$J$30,"At Risk"))</f>
        <v/>
      </c>
      <c r="F9" s="14" t="str">
        <f aca="false">IF(A9="","",COUNTIFS(Attendance!$B$6:$B$30,A9,Attendance!$J$6:$J$30,"Excellent"))</f>
        <v/>
      </c>
    </row>
    <row r="10" customFormat="false" ht="15" hidden="false" customHeight="false" outlineLevel="0" collapsed="false">
      <c r="A10" s="30"/>
      <c r="B10" s="21" t="str">
        <f aca="false">IF(A10="","",COUNTIFS(Attendance!$B$6:$B$30,A10,Attendance!$C$6:$C$30,"&lt;&gt;"))</f>
        <v/>
      </c>
      <c r="C10" s="19" t="str">
        <f aca="false">IF(A10="","",IFERROR(AVERAGEIF(Attendance!$B$6:$B$30,A10,Attendance!$D$6:$D$30),""))</f>
        <v/>
      </c>
      <c r="D10" s="20" t="str">
        <f aca="false">IF(A10="","",IFERROR(AVERAGEIF(Attendance!$B$6:$B$30,A10,Attendance!$E$6:$E$30),""))</f>
        <v/>
      </c>
      <c r="E10" s="21" t="str">
        <f aca="false">IF(A10="","",COUNTIFS(Attendance!$B$6:$B$30,A10,Attendance!$J$6:$J$30,"At Risk"))</f>
        <v/>
      </c>
      <c r="F10" s="21" t="str">
        <f aca="false">IF(A10="","",COUNTIFS(Attendance!$B$6:$B$30,A10,Attendance!$J$6:$J$30,"Excellent"))</f>
        <v/>
      </c>
    </row>
    <row r="11" customFormat="false" ht="15" hidden="false" customHeight="false" outlineLevel="0" collapsed="false">
      <c r="A11" s="30"/>
      <c r="B11" s="14" t="str">
        <f aca="false">IF(A11="","",COUNTIFS(Attendance!$B$6:$B$30,A11,Attendance!$C$6:$C$30,"&lt;&gt;"))</f>
        <v/>
      </c>
      <c r="C11" s="12" t="str">
        <f aca="false">IF(A11="","",IFERROR(AVERAGEIF(Attendance!$B$6:$B$30,A11,Attendance!$D$6:$D$30),""))</f>
        <v/>
      </c>
      <c r="D11" s="13" t="str">
        <f aca="false">IF(A11="","",IFERROR(AVERAGEIF(Attendance!$B$6:$B$30,A11,Attendance!$E$6:$E$30),""))</f>
        <v/>
      </c>
      <c r="E11" s="14" t="str">
        <f aca="false">IF(A11="","",COUNTIFS(Attendance!$B$6:$B$30,A11,Attendance!$J$6:$J$30,"At Risk"))</f>
        <v/>
      </c>
      <c r="F11" s="14" t="str">
        <f aca="false">IF(A11="","",COUNTIFS(Attendance!$B$6:$B$30,A11,Attendance!$J$6:$J$30,"Excellent"))</f>
        <v/>
      </c>
    </row>
    <row r="12" customFormat="false" ht="15" hidden="false" customHeight="false" outlineLevel="0" collapsed="false">
      <c r="A12" s="31" t="s">
        <v>51</v>
      </c>
      <c r="B12" s="31" t="n">
        <f aca="false">COUNTA(Attendance!$C$6:$C$30)</f>
        <v>16</v>
      </c>
      <c r="C12" s="32" t="str">
        <f aca="false">IFERROR(AVERAGE(Attendance!$D$6:$D$30),"")</f>
        <v/>
      </c>
      <c r="D12" s="32" t="str">
        <f aca="false">IFERROR(AVERAGE(Attendance!$E$6:$E$30),"")</f>
        <v/>
      </c>
      <c r="E12" s="31" t="n">
        <f aca="false">COUNTIF(Attendance!$J$6:$J$30,"At Risk")</f>
        <v>0</v>
      </c>
      <c r="F12" s="31" t="n">
        <f aca="false">COUNTIF(Attendance!$J$6:$J$30,"Excellent")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2026-10-12T05:33:18Z</dcterms:created>
  <dc:creator>openpyxl</dc:creator>
  <dc:description/>
  <dc:language>en-US</dc:language>
  <cp:lastModifiedBy/>
  <dcterms:modified xsi:type="dcterms:W3CDTF">2026-10-12T05:33:18Z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